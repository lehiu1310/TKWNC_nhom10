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9133de976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n cong" sheetId="1" r:id="R2b03aefba7a8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6"/>
      <x:color rgb="FF183F32"/>
      <x:name val="Arial"/>
    </x:font>
    <x:font>
      <x:i/>
      <x:sz val="10"/>
      <x:color rgb="FF64756C"/>
      <x:name val="Arial"/>
    </x:font>
    <x:font>
      <x:b/>
      <x:sz val="11"/>
      <x:color rgb="FF183F32"/>
      <x:name val="Arial"/>
    </x:font>
    <x:font>
      <x:b/>
      <x:sz val="10"/>
      <x:color rgb="FF183F32"/>
      <x:name val="Arial"/>
    </x:font>
    <x:font>
      <x:b/>
      <x:sz val="10"/>
      <x:color rgb="FFFFFFFF"/>
      <x:name val="Arial"/>
    </x:font>
    <x:font>
      <x:sz val="10"/>
      <x:color rgb="FF34463D"/>
      <x:name val="Arial"/>
    </x:font>
    <x:font>
      <x:sz val="9"/>
      <x:color rgb="FF64756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EF3EC"/>
      </x:patternFill>
    </x:fill>
    <x:fill>
      <x:patternFill patternType="solid">
        <x:fgColor rgb="FFF5F2E9"/>
      </x:patternFill>
    </x:fill>
    <x:fill>
      <x:patternFill patternType="solid">
        <x:fgColor rgb="FF183F32"/>
      </x:patternFill>
    </x:fill>
    <x:fill>
      <x:patternFill patternType="solid">
        <x:fgColor rgb="FFFFF8E7"/>
      </x:patternFill>
    </x:fill>
    <x:fill>
      <x:patternFill patternType="solid">
        <x:fgColor rgb="FFF3F4F1"/>
      </x:patternFill>
    </x:fill>
  </x:fills>
  <x:borders count="2">
    <x:border>
      <x:left/>
      <x:right/>
      <x:top/>
      <x:bottom/>
      <x:diagonal/>
    </x:border>
    <x:border>
      <x:left style="thin">
        <x:color rgb="FFD8D2C4"/>
      </x:left>
      <x:right style="thin">
        <x:color rgb="FFD8D2C4"/>
      </x:right>
      <x:top style="thin">
        <x:color rgb="FFD8D2C4"/>
      </x:top>
      <x:bottom style="thin">
        <x:color rgb="FFD8D2C4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/>
    <x:xf numFmtId="0" fontId="2" fillId="0" borderId="0" xfId="0" applyAlignment="1">
      <x:alignment vertical="center"/>
    </x:xf>
    <x:xf numFmtId="0" fontId="0" fillId="2" borderId="0" xfId="0"/>
    <x:xf numFmtId="0" fontId="3" fillId="2" borderId="0" xfId="0"/>
    <x:xf numFmtId="0" fontId="3" fillId="2" borderId="0" xfId="0" applyAlignment="1">
      <x:alignment vertical="center"/>
    </x:xf>
    <x:xf numFmtId="9" fontId="3" fillId="2" borderId="0" xfId="0" applyAlignment="1">
      <x:alignment vertical="center"/>
    </x:xf>
    <x:xf numFmtId="0" fontId="3" fillId="3" borderId="0" xfId="0" applyAlignment="1">
      <x:alignment vertical="center"/>
    </x:xf>
    <x:xf numFmtId="0" fontId="4" fillId="3" borderId="0" xfId="0" applyAlignment="1">
      <x:alignment vertical="center"/>
    </x:xf>
    <x:xf numFmtId="0" fontId="0" fillId="4" borderId="0" xfId="0"/>
    <x:xf numFmtId="0" fontId="5" fillId="4" borderId="0" xfId="0"/>
    <x:xf numFmtId="0" fontId="5" fillId="4" borderId="0" xfId="0" applyAlignment="1">
      <x:alignment wrapText="1"/>
    </x:xf>
    <x:xf numFmtId="0" fontId="5" fillId="4" borderId="0" xfId="0" applyAlignment="1">
      <x:alignment horizontal="center" wrapText="1"/>
    </x:xf>
    <x:xf numFmtId="0" fontId="5" fillId="4" borderId="0" xfId="0" applyAlignment="1">
      <x:alignment horizontal="center" vertical="center" wrapText="1"/>
    </x:xf>
    <x:xf numFmtId="0" fontId="6" fillId="0" borderId="0" xfId="0"/>
    <x:xf numFmtId="0" fontId="6" fillId="0" borderId="1" xfId="0"/>
    <x:xf numFmtId="0" fontId="6" fillId="0" borderId="1" xfId="0" applyAlignment="1">
      <x:alignment wrapText="1"/>
    </x:xf>
    <x:xf numFmtId="0" fontId="6" fillId="0" borderId="1" xfId="0" applyAlignment="1">
      <x:alignment vertical="center" wrapText="1"/>
    </x:xf>
    <x:xf numFmtId="0" fontId="6" fillId="0" borderId="1" xfId="0" applyAlignment="1">
      <x:alignment horizontal="center" vertical="center" wrapText="1"/>
    </x:xf>
    <x:xf numFmtId="0" fontId="6" fillId="5" borderId="1" xfId="0" applyAlignment="1">
      <x:alignment vertical="center" wrapText="1"/>
    </x:xf>
    <x:xf numFmtId="9" fontId="6" fillId="5" borderId="1" xfId="0" applyAlignment="1">
      <x:alignment vertical="center" wrapText="1"/>
    </x:xf>
    <x:xf numFmtId="9" fontId="6" fillId="5" borderId="1" xfId="0" applyAlignment="1">
      <x:alignment horizontal="center" vertical="center" wrapText="1"/>
    </x:xf>
    <x:xf numFmtId="0" fontId="6" fillId="6" borderId="1" xfId="0" applyAlignment="1">
      <x:alignment vertical="center" wrapText="1"/>
    </x:xf>
    <x:xf numFmtId="0" fontId="7" fillId="6" borderId="1" xfId="0" applyAlignment="1">
      <x:alignment vertical="center" wrapText="1"/>
    </x:xf>
    <x:xf numFmtId="0" fontId="7" fillId="6" borderId="1" xfId="0" applyAlignment="1">
      <x:alignment horizontal="center" vertical="center" wrapText="1"/>
    </x:xf>
    <x:xf numFmtId="0" fontId="0" fillId="0" borderId="0" xfId="0" applyAlignment="1">
      <x:alignment vertical="center"/>
    </x:xf>
    <x:xf numFmtId="9" fontId="3" fillId="2" borderId="0" xfId="0" applyAlignment="1">
      <x:alignment vertical="center"/>
    </x:xf>
    <x:xf numFmtId="9" fontId="6" fillId="5" borderId="1" xfId="0" applyAlignment="1">
      <x:alignment horizontal="center" vertical="center" wrapText="1"/>
    </x:xf>
    <x:xf numFmtId="200" fontId="6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a10d676114aa3" /><Relationship Type="http://schemas.openxmlformats.org/officeDocument/2006/relationships/theme" Target="/xl/theme/theme1.xml" Id="Rbfc4f6e5026c4dc5" /><Relationship Type="http://schemas.openxmlformats.org/officeDocument/2006/relationships/sharedStrings" Target="/xl/sharedStrings.xml" Id="R1276dad9a0e144fb" /><Relationship Type="http://schemas.openxmlformats.org/officeDocument/2006/relationships/worksheet" Target="/xl/worksheets/sheet1.xml" Id="R2b03aefba7a84c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baseColWidth="8" defaultRowHeight="15"/>
  <x:cols>
    <x:col min="1" max="1" width="7" customWidth="1"/>
    <x:col min="2" max="2" width="23" customWidth="1"/>
    <x:col min="3" max="3" width="48" customWidth="1"/>
    <x:col min="4" max="4" width="18" customWidth="1"/>
    <x:col min="5" max="5" width="34" customWidth="1"/>
    <x:col min="6" max="6" width="25" customWidth="1"/>
  </x:cols>
  <x:sheetData>
    <x:row r="1">
      <x:c r="A1" s="28" t="n"/>
      <x:c r="B1" s="28" t="n"/>
      <x:c r="C1" s="28" t="n"/>
      <x:c r="D1" s="28" t="n"/>
      <x:c r="E1" s="28" t="n"/>
      <x:c r="F1" s="28" t="n"/>
    </x:row>
    <x:row r="2" ht="30" customHeight="1">
      <x:c r="A2" s="2" t="inlineStr">
        <x:is>
          <x:t xml:space="preserve">BẢNG PHÂN CÔNG VÀ XÁC NHẬN ĐÓNG GÓP</x:t>
        </x:is>
      </x:c>
      <x:c r="B2" s="28" t="n"/>
      <x:c r="C2" s="28" t="n"/>
      <x:c r="D2" s="28" t="n"/>
      <x:c r="E2" s="28" t="n"/>
      <x:c r="F2" s="28" t="n"/>
    </x:row>
    <x:row r="3" ht="24" customHeight="1">
      <x:c r="A3" s="5" t="str">
        <x:v>Phân công đề xuất cân bằng theo mảng. Nhóm đối chiếu phần việc thực tế trước khi ký. Tỷ lệ cần đủ 100%.</x:v>
      </x:c>
      <x:c r="B3" s="5"/>
      <x:c r="C3" s="5" t="n"/>
      <x:c r="D3" s="5" t="n"/>
      <x:c r="E3" s="5" t="n"/>
      <x:c r="F3" s="5" t="n"/>
    </x:row>
    <x:row r="4">
      <x:c r="A4" s="8" t="n"/>
      <x:c r="B4" s="8" t="inlineStr">
        <x:is>
          <x:t xml:space="preserve">Tổng tỷ lệ</x:t>
        </x:is>
      </x:c>
      <x:c r="C4" s="29" t="n">
        <x:f>IF(COUNTA(B7:B14)=0,"",SUM(D7:D14))</x:f>
        <x:v>1</x:v>
      </x:c>
      <x:c r="D4" s="8" t="inlineStr">
        <x:is>
          <x:t xml:space="preserve">Tình trạng</x:t>
        </x:is>
      </x:c>
      <x:c r="E4" s="11" t="str">
        <x:f>IF(COUNTA(B7:B14)=0,"CHƯA ĐIỀN",IF(COUNTIF(F7:F14,"Thiếu*")&gt;0,"CÒN THIẾU THÔNG TIN",IF(ROUND(SUM(D7:D14),4)=1,"ĐỦ 100%","CẦN CHỈNH TỶ LỆ")))</x:f>
        <x:v>ĐỦ 100%</x:v>
      </x:c>
      <x:c r="F4" s="8" t="n"/>
    </x:row>
    <x:row r="5">
      <x:c r="A5" s="28" t="n"/>
      <x:c r="B5" s="28" t="n"/>
      <x:c r="C5" s="28" t="n"/>
      <x:c r="D5" s="28" t="n"/>
      <x:c r="E5" s="28" t="n"/>
      <x:c r="F5" s="28" t="n"/>
    </x:row>
    <x:row r="6" ht="34" customHeight="1">
      <x:c r="A6" s="16" t="inlineStr">
        <x:is>
          <x:t xml:space="preserve">STT</x:t>
        </x:is>
      </x:c>
      <x:c r="B6" s="16" t="inlineStr">
        <x:is>
          <x:t xml:space="preserve">Họ và tên</x:t>
        </x:is>
      </x:c>
      <x:c r="C6" s="16" t="str">
        <x:v>Phần việc đề xuất</x:v>
      </x:c>
      <x:c r="D6" s="16" t="str">
        <x:v>Tỷ lệ dự kiến</x:v>
      </x:c>
      <x:c r="E6" s="16" t="inlineStr">
        <x:is>
          <x:t xml:space="preserve">Xác nhận / chữ ký</x:t>
        </x:is>
      </x:c>
      <x:c r="F6" s="16" t="inlineStr">
        <x:is>
          <x:t xml:space="preserve">Trạng thái dòng</x:t>
        </x:is>
      </x:c>
    </x:row>
    <x:row r="7" ht="72" customHeight="1">
      <x:c r="A7" s="21" t="n">
        <x:v>1</x:v>
      </x:c>
      <x:c r="B7" s="32" t="str">
        <x:v>Nguyễn Hữu Lê Hiếu
23010895
Trưởng nhóm</x:v>
      </x:c>
      <x:c r="C7" s="32" t="str">
        <x:v>Điều phối tiến độ; xây dựng giao diện React bằng function components và Hooks; tích hợp màn hình với API; phối hợp kiểm tra và triển khai web.</x:v>
      </x:c>
      <x:c r="D7" s="31" t="n">
        <x:v>0.34</x:v>
      </x:c>
      <x:c r="E7" s="22" t="n"/>
      <x:c r="F7" s="27" t="str">
        <x:f>IF(B7="","",IF(C7="","Thiếu phần việc",IF(D7="","Thiếu tỷ lệ",IF(E7="","Thiếu xác nhận","Đủ"))))</x:f>
        <x:v>Thiếu xác nhận</x:v>
      </x:c>
    </x:row>
    <x:row r="8" ht="72" customHeight="1">
      <x:c r="A8" s="21" t="n">
        <x:v>2</x:v>
      </x:c>
      <x:c r="B8" s="32" t="str">
        <x:v>Phạm Văn Huấn
23010331
Thành viên</x:v>
      </x:c>
      <x:c r="C8" s="32" t="str">
        <x:v>Xây dựng backend REST; triển khai đăng nhập và phân quyền; kết nối PostgreSQL/Neon; xử lý lỗi và kiểm thử API.</x:v>
      </x:c>
      <x:c r="D8" s="31" t="n">
        <x:v>0.33</x:v>
      </x:c>
      <x:c r="E8" s="22" t="n"/>
      <x:c r="F8" s="27" t="str">
        <x:f>IF(B8="","",IF(C8="","Thiếu phần việc",IF(D8="","Thiếu tỷ lệ",IF(E8="","Thiếu xác nhận","Đủ"))))</x:f>
        <x:v>Thiếu xác nhận</x:v>
      </x:c>
    </x:row>
    <x:row r="9" ht="72" customHeight="1">
      <x:c r="A9" s="21" t="n">
        <x:v>3</x:v>
      </x:c>
      <x:c r="B9" s="32" t="str">
        <x:v>Đào Duy Đông
24100085
Thành viên</x:v>
      </x:c>
      <x:c r="C9" s="32" t="str">
        <x:v>Triển khai các luồng AI phân loại, phát hiện, tìm ảnh và chatbot RAG; tích hợp dữ liệu/mô hình; đánh giá metric và phối hợp Docker, CI.</x:v>
      </x:c>
      <x:c r="D9" s="31" t="n">
        <x:v>0.33</x:v>
      </x:c>
      <x:c r="E9" s="22" t="n"/>
      <x:c r="F9" s="27" t="str">
        <x:f>IF(B9="","",IF(C9="","Thiếu phần việc",IF(D9="","Thiếu tỷ lệ",IF(E9="","Thiếu xác nhận","Đủ"))))</x:f>
        <x:v>Thiếu xác nhận</x:v>
      </x:c>
    </x:row>
    <x:row r="10" ht="36" customHeight="1">
      <x:c r="A10" s="21" t="n">
        <x:v>4</x:v>
      </x:c>
      <x:c r="B10" s="22" t="n"/>
      <x:c r="C10" s="22" t="n"/>
      <x:c r="D10" s="30" t="n"/>
      <x:c r="E10" s="22" t="n"/>
      <x:c r="F10" s="27" t="str">
        <x:f>IF(B10="","",IF(C10="","Thiếu phần việc",IF(D10="","Thiếu tỷ lệ",IF(E10="","Thiếu xác nhận","Đủ"))))</x:f>
      </x:c>
    </x:row>
    <x:row r="11" ht="36" customHeight="1">
      <x:c r="A11" s="21" t="n">
        <x:v>5</x:v>
      </x:c>
      <x:c r="B11" s="22" t="n"/>
      <x:c r="C11" s="22" t="n"/>
      <x:c r="D11" s="30" t="n"/>
      <x:c r="E11" s="22" t="n"/>
      <x:c r="F11" s="27" t="str">
        <x:f>IF(B11="","",IF(C11="","Thiếu phần việc",IF(D11="","Thiếu tỷ lệ",IF(E11="","Thiếu xác nhận","Đủ"))))</x:f>
      </x:c>
    </x:row>
    <x:row r="12" ht="36" customHeight="1">
      <x:c r="A12" s="21" t="n">
        <x:v>6</x:v>
      </x:c>
      <x:c r="B12" s="22" t="n"/>
      <x:c r="C12" s="22" t="n"/>
      <x:c r="D12" s="30" t="n"/>
      <x:c r="E12" s="22" t="n"/>
      <x:c r="F12" s="27" t="str">
        <x:f>IF(B12="","",IF(C12="","Thiếu phần việc",IF(D12="","Thiếu tỷ lệ",IF(E12="","Thiếu xác nhận","Đủ"))))</x:f>
      </x:c>
    </x:row>
    <x:row r="13" ht="36" customHeight="1">
      <x:c r="A13" s="21" t="n">
        <x:v>7</x:v>
      </x:c>
      <x:c r="B13" s="22" t="n"/>
      <x:c r="C13" s="22" t="n"/>
      <x:c r="D13" s="30" t="n"/>
      <x:c r="E13" s="22" t="n"/>
      <x:c r="F13" s="27" t="str">
        <x:f>IF(B13="","",IF(C13="","Thiếu phần việc",IF(D13="","Thiếu tỷ lệ",IF(E13="","Thiếu xác nhận","Đủ"))))</x:f>
      </x:c>
    </x:row>
    <x:row r="14" ht="36" customHeight="1">
      <x:c r="A14" s="21" t="n">
        <x:v>8</x:v>
      </x:c>
      <x:c r="B14" s="22" t="n"/>
      <x:c r="C14" s="22" t="n"/>
      <x:c r="D14" s="30" t="n"/>
      <x:c r="E14" s="22" t="n"/>
      <x:c r="F14" s="27" t="str">
        <x:f>IF(B14="","",IF(C14="","Thiếu phần việc",IF(D14="","Thiếu tỷ lệ",IF(E14="","Thiếu xác nhận","Đủ"))))</x:f>
      </x:c>
    </x:row>
  </x:sheetData>
  <x:pageMargins left="0.7" right="0.7" top="0.75" bottom="0.75" header="0.3" footer="0.3"/>
</x:worksheet>
</file>